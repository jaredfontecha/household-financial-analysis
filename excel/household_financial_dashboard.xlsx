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red/Desktop/household-financial-analysis/excel/"/>
    </mc:Choice>
  </mc:AlternateContent>
  <xr:revisionPtr revIDLastSave="0" documentId="13_ncr:1_{F10C5F11-E2F4-044A-9785-DC94660B8FEE}" xr6:coauthVersionLast="47" xr6:coauthVersionMax="47" xr10:uidLastSave="{00000000-0000-0000-0000-000000000000}"/>
  <bookViews>
    <workbookView xWindow="260" yWindow="500" windowWidth="28040" windowHeight="16940" xr2:uid="{20982C6F-3B99-E546-AC6C-61A1DEEF3B37}"/>
  </bookViews>
  <sheets>
    <sheet name="Dashboard" sheetId="1" r:id="rId1"/>
    <sheet name="Spending Summary" sheetId="2" r:id="rId2"/>
    <sheet name="Debt Analysis" sheetId="3" r:id="rId3"/>
    <sheet name="Financial Healt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E4" i="1"/>
  <c r="C4" i="1"/>
  <c r="A4" i="1"/>
  <c r="B15" i="4"/>
  <c r="B14" i="4"/>
  <c r="B13" i="4"/>
  <c r="B10" i="4"/>
  <c r="B7" i="4"/>
  <c r="B6" i="4"/>
  <c r="B5" i="4"/>
  <c r="B9" i="4"/>
  <c r="B8" i="4"/>
  <c r="B4" i="4"/>
  <c r="C21" i="3"/>
  <c r="C19" i="3"/>
  <c r="C18" i="3"/>
  <c r="C15" i="3"/>
  <c r="E12" i="3"/>
  <c r="D11" i="3" a="1"/>
  <c r="C10" i="3"/>
  <c r="D17" i="2"/>
  <c r="D18" i="2"/>
  <c r="D19" i="2"/>
  <c r="D20" i="2"/>
  <c r="D21" i="2"/>
  <c r="D22" i="2"/>
  <c r="D23" i="2"/>
  <c r="D24" i="2"/>
  <c r="D25" i="2"/>
  <c r="D26" i="2"/>
  <c r="D27" i="2"/>
  <c r="D16" i="2"/>
  <c r="C17" i="2"/>
  <c r="C18" i="2"/>
  <c r="C19" i="2"/>
  <c r="C20" i="2"/>
  <c r="C21" i="2"/>
  <c r="C22" i="2"/>
  <c r="C23" i="2"/>
  <c r="C24" i="2"/>
  <c r="C25" i="2"/>
  <c r="C26" i="2"/>
  <c r="C27" i="2"/>
  <c r="C16" i="2"/>
  <c r="B29" i="2"/>
  <c r="C5" i="2"/>
  <c r="C6" i="2"/>
  <c r="C7" i="2"/>
  <c r="C8" i="2"/>
  <c r="C9" i="2"/>
  <c r="C10" i="2"/>
  <c r="C11" i="2"/>
  <c r="C12" i="2"/>
  <c r="C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<sst xmlns="http://schemas.openxmlformats.org/spreadsheetml/2006/main" count="81" uniqueCount="74">
  <si>
    <t>Spending  Summary</t>
  </si>
  <si>
    <t>Category</t>
  </si>
  <si>
    <t>Annual Spending</t>
  </si>
  <si>
    <t>% of total</t>
  </si>
  <si>
    <t>Travel</t>
  </si>
  <si>
    <t xml:space="preserve">Shopping </t>
  </si>
  <si>
    <t>Utilities</t>
  </si>
  <si>
    <t>Housing</t>
  </si>
  <si>
    <t>Groceries</t>
  </si>
  <si>
    <t>Transportation</t>
  </si>
  <si>
    <t>Dining</t>
  </si>
  <si>
    <t>Entertainment</t>
  </si>
  <si>
    <t>Fitness</t>
  </si>
  <si>
    <t>Month</t>
  </si>
  <si>
    <t>Monthly Spending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</si>
  <si>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</si>
  <si>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</si>
  <si>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</si>
  <si>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</si>
  <si>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</si>
  <si>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</si>
  <si>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</si>
  <si>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</si>
  <si>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</si>
  <si>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</si>
  <si>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</si>
  <si>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</si>
  <si>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% vs Average</t>
  </si>
  <si>
    <t>Spending Flag</t>
  </si>
  <si>
    <t>Avg  Monthly Spending:</t>
  </si>
  <si>
    <t>Debt Analysis</t>
  </si>
  <si>
    <t>Lender</t>
  </si>
  <si>
    <t>Debt Type</t>
  </si>
  <si>
    <t>Balance</t>
  </si>
  <si>
    <t>APR</t>
  </si>
  <si>
    <t>Minimum Payment</t>
  </si>
  <si>
    <t>Chase</t>
  </si>
  <si>
    <t>Capital One</t>
  </si>
  <si>
    <t>Desert Auto Finance</t>
  </si>
  <si>
    <t>Federal Student Aid - Alex</t>
  </si>
  <si>
    <t>Federal Student Aid - Jordan</t>
  </si>
  <si>
    <t>Credit Card</t>
  </si>
  <si>
    <t>Auto Loan</t>
  </si>
  <si>
    <t>Student Loan</t>
  </si>
  <si>
    <t>Total Listed Debt</t>
  </si>
  <si>
    <t>Total Monthly Minimum Payments</t>
  </si>
  <si>
    <t>Missing Amex Balance</t>
  </si>
  <si>
    <t>Adjusted Total Debt</t>
  </si>
  <si>
    <t>Checking Cash</t>
  </si>
  <si>
    <t>Cash-to-Debt Ration</t>
  </si>
  <si>
    <t>Net Liquid Position</t>
  </si>
  <si>
    <t>Debt-to-Income</t>
  </si>
  <si>
    <t>Annual Income</t>
  </si>
  <si>
    <t>Weighted Average APR</t>
  </si>
  <si>
    <t>Financial Health</t>
  </si>
  <si>
    <t>Metric</t>
  </si>
  <si>
    <t>Value</t>
  </si>
  <si>
    <t>Annual Net Cash Flow</t>
  </si>
  <si>
    <t>Cash Flow Mragin</t>
  </si>
  <si>
    <t>Cash-to-Debt Ratio</t>
  </si>
  <si>
    <t>Custom Financial Health Score</t>
  </si>
  <si>
    <t>Risk Flags</t>
  </si>
  <si>
    <t>Negative Annual Cash Flow</t>
  </si>
  <si>
    <t>Low Cash Coverage Relative to Debt</t>
  </si>
  <si>
    <t>High Total Debt Relative to Annual Income</t>
  </si>
  <si>
    <t>Household Financial Dashboard</t>
  </si>
  <si>
    <t>Net Cash Flow</t>
  </si>
  <si>
    <t>Custom Health Score</t>
  </si>
  <si>
    <t>* custom project metric (not industry-standard score)</t>
  </si>
  <si>
    <t>Key Insights</t>
  </si>
  <si>
    <r>
      <t xml:space="preserve">• Travel is the largest spending category, accounting for about </t>
    </r>
    <r>
      <rPr>
        <b/>
        <sz val="12"/>
        <color theme="1"/>
        <rFont val="Aptos Narrow"/>
        <family val="2"/>
        <scheme val="minor"/>
      </rPr>
      <t>41.4%</t>
    </r>
    <r>
      <rPr>
        <sz val="12"/>
        <color theme="1"/>
        <rFont val="Aptos Narrow"/>
        <family val="2"/>
        <scheme val="minor"/>
      </rPr>
      <t xml:space="preserve"> of annual spending.</t>
    </r>
  </si>
  <si>
    <r>
      <t>• March and October</t>
    </r>
    <r>
      <rPr>
        <sz val="12"/>
        <color theme="1"/>
        <rFont val="Aptos Narrow"/>
        <family val="2"/>
        <scheme val="minor"/>
      </rPr>
      <t xml:space="preserve"> were the highest-spending months relative to the monthly average.</t>
    </r>
  </si>
  <si>
    <t>• Credit cards represent a relatively small share of debt principal but a disproportionately high share of estimated interest cost.</t>
  </si>
  <si>
    <r>
      <t xml:space="preserve">• The household has </t>
    </r>
    <r>
      <rPr>
        <b/>
        <sz val="12"/>
        <color theme="1"/>
        <rFont val="Aptos Narrow"/>
        <family val="2"/>
        <scheme val="minor"/>
      </rPr>
      <t>negative annual cash flow</t>
    </r>
    <r>
      <rPr>
        <sz val="12"/>
        <color theme="1"/>
        <rFont val="Aptos Narrow"/>
        <family val="2"/>
        <scheme val="minor"/>
      </rPr>
      <t xml:space="preserve"> and would require major discretionary spending cuts, income growth, or both to reach break-even.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</si>
</sst>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 (Body)"/>
    </font>
    <font>
      <b/>
      <sz val="16"/>
      <color theme="1"/>
      <name val="Aptos Narrow (Body)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sz val="9"/>
      <color theme="1"/>
      <name val="Aptos Narrow (Body)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484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2" applyNumberFormat="1" applyFont="1"/>
    <xf numFmtId="0" fontId="0" fillId="0" borderId="0" xfId="0" applyAlignment="1">
      <alignment wrapText="1"/>
    </xf>
    <xf numFmtId="10" fontId="0" fillId="0" borderId="0" xfId="2" applyNumberFormat="1" applyFont="1" applyAlignment="1">
      <alignment wrapText="1"/>
    </xf>
    <xf numFmtId="44" fontId="0" fillId="0" borderId="0" xfId="1" applyFont="1" applyAlignment="1">
      <alignment wrapText="1"/>
    </xf>
    <xf numFmtId="0" fontId="5" fillId="0" borderId="0" xfId="0" applyFont="1"/>
    <xf numFmtId="44" fontId="0" fillId="0" borderId="0" xfId="1" applyFont="1"/>
    <xf numFmtId="10" fontId="0" fillId="0" borderId="0" xfId="0" applyNumberFormat="1"/>
    <xf numFmtId="44" fontId="0" fillId="0" borderId="0" xfId="0" applyNumberFormat="1"/>
    <xf numFmtId="44" fontId="0" fillId="0" borderId="0" xfId="2" applyNumberFormat="1" applyFont="1"/>
    <xf numFmtId="0" fontId="3" fillId="0" borderId="0" xfId="0" applyFont="1"/>
    <xf numFmtId="44" fontId="7" fillId="2" borderId="1" xfId="0" applyNumberFormat="1" applyFont="1" applyFill="1" applyBorder="1" applyAlignment="1">
      <alignment horizontal="center"/>
    </xf>
    <xf numFmtId="0" fontId="7" fillId="2" borderId="1" xfId="0" applyNumberFormat="1" applyFont="1" applyFill="1" applyBorder="1" applyAlignment="1">
      <alignment horizontal="center"/>
    </xf>
    <xf numFmtId="44" fontId="7" fillId="3" borderId="1" xfId="0" applyNumberFormat="1" applyFont="1" applyFill="1" applyBorder="1" applyAlignment="1">
      <alignment horizontal="center"/>
    </xf>
    <xf numFmtId="44" fontId="7" fillId="2" borderId="1" xfId="0" applyNumberFormat="1" applyFont="1" applyFill="1" applyBorder="1" applyAlignment="1"/>
    <xf numFmtId="0" fontId="3" fillId="0" borderId="1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2" fillId="0" borderId="0" xfId="0" applyFont="1"/>
    <xf numFmtId="0" fontId="4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484B"/>
      <color rgb="FFBB33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6</xdr:row>
      <xdr:rowOff>50800</xdr:rowOff>
    </xdr:from>
    <xdr:to>
      <xdr:col>6</xdr:col>
      <xdr:colOff>381000</xdr:colOff>
      <xdr:row>27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20495F-1FCB-3C55-CB15-E5CB7F3FB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22400"/>
          <a:ext cx="5753100" cy="42926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571500</xdr:colOff>
      <xdr:row>6</xdr:row>
      <xdr:rowOff>50800</xdr:rowOff>
    </xdr:from>
    <xdr:to>
      <xdr:col>13</xdr:col>
      <xdr:colOff>533400</xdr:colOff>
      <xdr:row>27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7891CB9-5B38-B7A4-D760-1435D9AC6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6300" y="1422400"/>
          <a:ext cx="5740400" cy="42926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13</xdr:col>
      <xdr:colOff>711200</xdr:colOff>
      <xdr:row>6</xdr:row>
      <xdr:rowOff>50800</xdr:rowOff>
    </xdr:from>
    <xdr:to>
      <xdr:col>20</xdr:col>
      <xdr:colOff>685800</xdr:colOff>
      <xdr:row>27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5854C42-6AE6-4DEA-4417-49B02C750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74500" y="1422400"/>
          <a:ext cx="5753100" cy="42926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25400</xdr:colOff>
      <xdr:row>28</xdr:row>
      <xdr:rowOff>38100</xdr:rowOff>
    </xdr:from>
    <xdr:to>
      <xdr:col>4</xdr:col>
      <xdr:colOff>571500</xdr:colOff>
      <xdr:row>49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2032435-A284-7512-2A4B-8511D59A3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880100"/>
          <a:ext cx="4102100" cy="42926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762000</xdr:colOff>
      <xdr:row>28</xdr:row>
      <xdr:rowOff>50800</xdr:rowOff>
    </xdr:from>
    <xdr:to>
      <xdr:col>11</xdr:col>
      <xdr:colOff>558800</xdr:colOff>
      <xdr:row>49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90F5136-CDF8-DCB5-C3A4-131455869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8000" y="5892800"/>
          <a:ext cx="5753100" cy="42926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762000</xdr:colOff>
      <xdr:row>28</xdr:row>
      <xdr:rowOff>50800</xdr:rowOff>
    </xdr:from>
    <xdr:to>
      <xdr:col>18</xdr:col>
      <xdr:colOff>698500</xdr:colOff>
      <xdr:row>49</xdr:row>
      <xdr:rowOff>76200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F840A00-1CC7-7039-68DE-B915D706A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4300" y="5892800"/>
          <a:ext cx="5715000" cy="42926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</xdr:col>
      <xdr:colOff>25400</xdr:colOff>
      <xdr:row>51</xdr:row>
      <xdr:rowOff>139700</xdr:rowOff>
    </xdr:from>
    <xdr:to>
      <xdr:col>13</xdr:col>
      <xdr:colOff>228600</xdr:colOff>
      <xdr:row>72</xdr:row>
      <xdr:rowOff>165100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357EFC8-B317-0344-46D4-51B8FBE8D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700" y="10718800"/>
          <a:ext cx="6807200" cy="42926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21C3D2-6289-6B4C-95E8-DA2399312F39}" name="Table1" displayName="Table1" ref="A3:C12" totalsRowShown="0" headerRowDxfId="9" dataDxfId="8">
  <autoFilter ref="A3:C12" xr:uid="{9C21C3D2-6289-6B4C-95E8-DA2399312F39}"/>
  <tableColumns count="3">
    <tableColumn id="1" xr3:uid="{50BA5619-4628-8345-871A-9334F28576FA}" name="Category" dataDxfId="11"/>
    <tableColumn id="2" xr3:uid="{502EA8C3-74BC-FF4F-A236-397DF2E41F34}" name="Annual Spending" dataDxfId="7" dataCellStyle="Currency"/>
    <tableColumn id="3" xr3:uid="{48B2BAAA-85F3-BA44-8A22-F93AA059F60D}" name="% of total" dataDxfId="10" dataCellStyle="Percent">
      <calculatedColumnFormula>B4/SUM($B$4:B$12)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4833FE-D79C-B949-84A8-48BF5B8DBBC8}" name="Table2" displayName="Table2" ref="A15:D27" totalsRowShown="0">
  <autoFilter ref="A15:D27" xr:uid="{334833FE-D79C-B949-84A8-48BF5B8DBBC8}"/>
  <tableColumns count="4">
    <tableColumn id="1" xr3:uid="{81DFD588-90EC-4041-930D-2B4800FEFE43}" name="Month"/>
    <tableColumn id="2" xr3:uid="{9E3C0F54-651E-D542-98CE-A43EFF450622}" name="Monthly Spending" dataDxfId="6" dataCellStyle="Currency"/>
    <tableColumn id="3" xr3:uid="{65B688F6-D834-4C48-B727-2D9B2AD091AD}" name="% vs Average" dataDxfId="5" dataCellStyle="Percent">
      <calculatedColumnFormula>(B16-$B$29)/$B$29</calculatedColumnFormula>
    </tableColumn>
    <tableColumn id="4" xr3:uid="{B0859664-6F99-BD4A-B7B4-A898F07CA31A}" name="Spending Flag">
      <calculatedColumnFormula>IF(C16&gt;=10%, "High", "Normal")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20480E-5597-7D42-9FDE-0FC6333C68BF}" name="Table3" displayName="Table3" ref="A3:E8" totalsRowShown="0">
  <autoFilter ref="A3:E8" xr:uid="{5620480E-5597-7D42-9FDE-0FC6333C68BF}"/>
  <tableColumns count="5">
    <tableColumn id="1" xr3:uid="{8E0CC9B9-DAE4-6C46-8356-7CB368CF4A03}" name="Lender"/>
    <tableColumn id="2" xr3:uid="{F2A05170-03E1-F843-815B-3D9A63767D76}" name="Debt Type"/>
    <tableColumn id="3" xr3:uid="{FB3BB036-1A0C-9E45-8F12-53DFEE35955E}" name="Balance" dataDxfId="4" dataCellStyle="Currency"/>
    <tableColumn id="4" xr3:uid="{1EA9CEB1-FBA9-154C-BDED-B782119F4E71}" name="APR" dataDxfId="3"/>
    <tableColumn id="5" xr3:uid="{07E84F14-4924-4040-A46A-6D030ED57B69}" name="Minimum Payment" dataDxfId="2" dataCellStyle="Currenc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7639-3F40-914B-8911-90E53FCE4519}">
  <dimension ref="A1:H79"/>
  <sheetViews>
    <sheetView showGridLines="0" tabSelected="1" topLeftCell="A47" workbookViewId="0">
      <selection activeCell="I81" sqref="I81"/>
    </sheetView>
  </sheetViews>
  <sheetFormatPr baseColWidth="10" defaultRowHeight="16" x14ac:dyDescent="0.2"/>
  <cols>
    <col min="1" max="1" width="12.5" bestFit="1" customWidth="1"/>
    <col min="3" max="3" width="12.5" bestFit="1" customWidth="1"/>
    <col min="5" max="5" width="13.1640625" bestFit="1" customWidth="1"/>
  </cols>
  <sheetData>
    <row r="1" spans="1:8" ht="27" x14ac:dyDescent="0.35">
      <c r="A1" s="16" t="s">
        <v>65</v>
      </c>
    </row>
    <row r="3" spans="1:8" x14ac:dyDescent="0.2">
      <c r="A3" s="15" t="s">
        <v>52</v>
      </c>
      <c r="B3" s="15"/>
      <c r="C3" s="15" t="s">
        <v>2</v>
      </c>
      <c r="D3" s="15"/>
      <c r="E3" s="15" t="s">
        <v>66</v>
      </c>
      <c r="F3" s="15"/>
      <c r="G3" s="15" t="s">
        <v>67</v>
      </c>
      <c r="H3" s="15"/>
    </row>
    <row r="4" spans="1:8" ht="22" x14ac:dyDescent="0.3">
      <c r="A4" s="14">
        <f>'Financial Health'!B4</f>
        <v>174923.04</v>
      </c>
      <c r="B4" s="14"/>
      <c r="C4" s="11">
        <f>'Financial Health'!B5</f>
        <v>371758.31999999995</v>
      </c>
      <c r="D4" s="11"/>
      <c r="E4" s="13">
        <f>'Financial Health'!B6</f>
        <v>-196835.27999999994</v>
      </c>
      <c r="F4" s="13"/>
      <c r="G4" s="12">
        <f>'Financial Health'!B10</f>
        <v>40</v>
      </c>
      <c r="H4" s="12"/>
    </row>
    <row r="5" spans="1:8" x14ac:dyDescent="0.2">
      <c r="G5" s="17" t="s">
        <v>68</v>
      </c>
    </row>
    <row r="75" spans="6:6" ht="19" x14ac:dyDescent="0.25">
      <c r="F75" s="19" t="s">
        <v>69</v>
      </c>
    </row>
    <row r="76" spans="6:6" x14ac:dyDescent="0.2">
      <c r="F76" t="s">
        <v>70</v>
      </c>
    </row>
    <row r="77" spans="6:6" x14ac:dyDescent="0.2">
      <c r="F77" s="18" t="s">
        <v>71</v>
      </c>
    </row>
    <row r="78" spans="6:6" x14ac:dyDescent="0.2">
      <c r="F78" t="s">
        <v>72</v>
      </c>
    </row>
    <row r="79" spans="6:6" x14ac:dyDescent="0.2">
      <c r="F79" t="s">
        <v>73</v>
      </c>
    </row>
  </sheetData>
  <mergeCells count="8">
    <mergeCell ref="A3:B3"/>
    <mergeCell ref="C3:D3"/>
    <mergeCell ref="E3:F3"/>
    <mergeCell ref="G3:H3"/>
    <mergeCell ref="A4:B4"/>
    <mergeCell ref="C4:D4"/>
    <mergeCell ref="E4:F4"/>
    <mergeCell ref="G4:H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C019-9909-E548-9C1E-1907D41999F2}">
  <dimension ref="A1:D29"/>
  <sheetViews>
    <sheetView workbookViewId="0">
      <selection activeCell="D35" sqref="D35"/>
    </sheetView>
  </sheetViews>
  <sheetFormatPr baseColWidth="10" defaultRowHeight="16" x14ac:dyDescent="0.2"/>
  <cols>
    <col min="1" max="1" width="22.6640625" customWidth="1"/>
    <col min="2" max="2" width="20" customWidth="1"/>
    <col min="3" max="3" width="18.33203125" customWidth="1"/>
    <col min="4" max="4" width="14.5" customWidth="1"/>
  </cols>
  <sheetData>
    <row r="1" spans="1:4" ht="22" x14ac:dyDescent="0.3">
      <c r="A1" s="5" t="s">
        <v>0</v>
      </c>
    </row>
    <row r="3" spans="1:4" ht="17" x14ac:dyDescent="0.2">
      <c r="A3" s="2" t="s">
        <v>1</v>
      </c>
      <c r="B3" s="2" t="s">
        <v>2</v>
      </c>
      <c r="C3" s="2" t="s">
        <v>3</v>
      </c>
    </row>
    <row r="4" spans="1:4" ht="17" x14ac:dyDescent="0.2">
      <c r="A4" s="2" t="s">
        <v>4</v>
      </c>
      <c r="B4" s="4">
        <v>153896.94</v>
      </c>
      <c r="C4" s="3">
        <f>B4/SUM($B$4:B$12)</f>
        <v>0.41397039883330661</v>
      </c>
    </row>
    <row r="5" spans="1:4" ht="17" x14ac:dyDescent="0.2">
      <c r="A5" s="2" t="s">
        <v>5</v>
      </c>
      <c r="B5" s="4">
        <v>57362.35</v>
      </c>
      <c r="C5" s="3">
        <f>B5/SUM($B$4:B$12)</f>
        <v>0.15430011088924656</v>
      </c>
    </row>
    <row r="6" spans="1:4" ht="17" x14ac:dyDescent="0.2">
      <c r="A6" s="2" t="s">
        <v>6</v>
      </c>
      <c r="B6" s="4">
        <v>45461.06</v>
      </c>
      <c r="C6" s="3">
        <f>B6/SUM($B$4:B$12)</f>
        <v>0.12228659737864106</v>
      </c>
    </row>
    <row r="7" spans="1:4" ht="17" x14ac:dyDescent="0.2">
      <c r="A7" s="2" t="s">
        <v>7</v>
      </c>
      <c r="B7" s="4">
        <v>34200</v>
      </c>
      <c r="C7" s="3">
        <f>B7/SUM($B$4:B$12)</f>
        <v>9.1995251108300702E-2</v>
      </c>
    </row>
    <row r="8" spans="1:4" ht="17" x14ac:dyDescent="0.2">
      <c r="A8" s="2" t="s">
        <v>8</v>
      </c>
      <c r="B8" s="4">
        <v>31541.5</v>
      </c>
      <c r="C8" s="3">
        <f>B8/SUM($B$4:B$12)</f>
        <v>8.4844099790422997E-2</v>
      </c>
    </row>
    <row r="9" spans="1:4" ht="17" x14ac:dyDescent="0.2">
      <c r="A9" s="2" t="s">
        <v>9</v>
      </c>
      <c r="B9" s="4">
        <v>19363.47</v>
      </c>
      <c r="C9" s="3">
        <f>B9/SUM($B$4:B$12)</f>
        <v>5.2086177923334719E-2</v>
      </c>
    </row>
    <row r="10" spans="1:4" ht="17" x14ac:dyDescent="0.2">
      <c r="A10" s="2" t="s">
        <v>10</v>
      </c>
      <c r="B10" s="4">
        <v>13152.43</v>
      </c>
      <c r="C10" s="3">
        <f>B10/SUM($B$4:B$12)</f>
        <v>3.5378979547787931E-2</v>
      </c>
    </row>
    <row r="11" spans="1:4" ht="17" x14ac:dyDescent="0.2">
      <c r="A11" s="2" t="s">
        <v>11</v>
      </c>
      <c r="B11" s="4">
        <v>11750.69</v>
      </c>
      <c r="C11" s="3">
        <f>B11/SUM($B$4:B$12)</f>
        <v>3.1608411615374206E-2</v>
      </c>
    </row>
    <row r="12" spans="1:4" ht="17" x14ac:dyDescent="0.2">
      <c r="A12" s="2" t="s">
        <v>12</v>
      </c>
      <c r="B12" s="4">
        <v>5029.88</v>
      </c>
      <c r="C12" s="3">
        <f>B12/SUM($B$4:B$12)</f>
        <v>1.3529972913585367E-2</v>
      </c>
    </row>
    <row r="15" spans="1:4" x14ac:dyDescent="0.2">
      <c r="A15" t="s">
        <v>13</v>
      </c>
      <c r="B15" t="s">
        <v>14</v>
      </c>
      <c r="C15" t="s">
        <v>27</v>
      </c>
      <c r="D15" t="s">
        <v>28</v>
      </c>
    </row>
    <row r="16" spans="1:4" x14ac:dyDescent="0.2">
      <c r="A16" t="s">
        <v>15</v>
      </c>
      <c r="B16" s="6">
        <v>29194.28</v>
      </c>
      <c r="C16" s="1">
        <f>(B16-$B$29)/$B$29</f>
        <v>-5.7636800166301648E-2</v>
      </c>
      <c r="D16" t="str">
        <f>IF(C16&gt;=10%, "High", "Normal")</f>
        <v>Normal</v>
      </c>
    </row>
    <row r="17" spans="1:4" x14ac:dyDescent="0.2">
      <c r="A17" t="s">
        <v>16</v>
      </c>
      <c r="B17" s="6">
        <v>30229.09</v>
      </c>
      <c r="C17" s="1">
        <f t="shared" ref="C17:C27" si="0">(B17-$B$29)/$B$29</f>
        <v>-2.4234131464764542E-2</v>
      </c>
      <c r="D17" t="str">
        <f t="shared" ref="D17:D27" si="1">IF(C17&gt;=10%, "High", "Normal")</f>
        <v>Normal</v>
      </c>
    </row>
    <row r="18" spans="1:4" x14ac:dyDescent="0.2">
      <c r="A18" t="s">
        <v>17</v>
      </c>
      <c r="B18" s="6">
        <v>34800.93</v>
      </c>
      <c r="C18" s="1">
        <f t="shared" si="0"/>
        <v>0.12334045408855945</v>
      </c>
      <c r="D18" t="str">
        <f t="shared" si="1"/>
        <v>High</v>
      </c>
    </row>
    <row r="19" spans="1:4" x14ac:dyDescent="0.2">
      <c r="A19" t="s">
        <v>18</v>
      </c>
      <c r="B19" s="6">
        <v>29447.16</v>
      </c>
      <c r="C19" s="1">
        <f t="shared" si="0"/>
        <v>-4.9474077674979834E-2</v>
      </c>
      <c r="D19" t="str">
        <f t="shared" si="1"/>
        <v>Normal</v>
      </c>
    </row>
    <row r="20" spans="1:4" x14ac:dyDescent="0.2">
      <c r="A20" t="s">
        <v>19</v>
      </c>
      <c r="B20" s="6">
        <v>28793.759999999998</v>
      </c>
      <c r="C20" s="1">
        <f t="shared" si="0"/>
        <v>-7.0565199455388181E-2</v>
      </c>
      <c r="D20" t="str">
        <f t="shared" si="1"/>
        <v>Normal</v>
      </c>
    </row>
    <row r="21" spans="1:4" x14ac:dyDescent="0.2">
      <c r="A21" t="s">
        <v>20</v>
      </c>
      <c r="B21" s="6">
        <v>30765.25</v>
      </c>
      <c r="C21" s="1">
        <f t="shared" si="0"/>
        <v>-6.9274038036324431E-3</v>
      </c>
      <c r="D21" t="str">
        <f t="shared" si="1"/>
        <v>Normal</v>
      </c>
    </row>
    <row r="22" spans="1:4" x14ac:dyDescent="0.2">
      <c r="A22" t="s">
        <v>21</v>
      </c>
      <c r="B22" s="6">
        <v>27035.42</v>
      </c>
      <c r="C22" s="1">
        <f t="shared" si="0"/>
        <v>-0.12732271869530729</v>
      </c>
      <c r="D22" t="str">
        <f t="shared" si="1"/>
        <v>Normal</v>
      </c>
    </row>
    <row r="23" spans="1:4" x14ac:dyDescent="0.2">
      <c r="A23" t="s">
        <v>22</v>
      </c>
      <c r="B23" s="6">
        <v>33698.04</v>
      </c>
      <c r="C23" s="1">
        <f t="shared" si="0"/>
        <v>8.7740228651775706E-2</v>
      </c>
      <c r="D23" t="str">
        <f t="shared" si="1"/>
        <v>Normal</v>
      </c>
    </row>
    <row r="24" spans="1:4" x14ac:dyDescent="0.2">
      <c r="A24" t="s">
        <v>23</v>
      </c>
      <c r="B24" s="6">
        <v>30222.67</v>
      </c>
      <c r="C24" s="1">
        <f t="shared" si="0"/>
        <v>-2.4441362872524353E-2</v>
      </c>
      <c r="D24" t="str">
        <f t="shared" si="1"/>
        <v>Normal</v>
      </c>
    </row>
    <row r="25" spans="1:4" x14ac:dyDescent="0.2">
      <c r="A25" t="s">
        <v>24</v>
      </c>
      <c r="B25" s="6">
        <v>34376.61</v>
      </c>
      <c r="C25" s="1">
        <f t="shared" si="0"/>
        <v>0.10964381375512994</v>
      </c>
      <c r="D25" t="str">
        <f t="shared" si="1"/>
        <v>High</v>
      </c>
    </row>
    <row r="26" spans="1:4" x14ac:dyDescent="0.2">
      <c r="A26" t="s">
        <v>25</v>
      </c>
      <c r="B26" s="6">
        <v>31212.49</v>
      </c>
      <c r="C26" s="1">
        <f t="shared" si="0"/>
        <v>7.5090720229207299E-3</v>
      </c>
      <c r="D26" t="str">
        <f t="shared" si="1"/>
        <v>Normal</v>
      </c>
    </row>
    <row r="27" spans="1:4" x14ac:dyDescent="0.2">
      <c r="A27" t="s">
        <v>26</v>
      </c>
      <c r="B27" s="6">
        <v>31982.62</v>
      </c>
      <c r="C27" s="1">
        <f t="shared" si="0"/>
        <v>3.2368125614512085E-2</v>
      </c>
      <c r="D27" t="str">
        <f t="shared" si="1"/>
        <v>Normal</v>
      </c>
    </row>
    <row r="29" spans="1:4" ht="17" x14ac:dyDescent="0.2">
      <c r="A29" s="2" t="s">
        <v>29</v>
      </c>
      <c r="B29" s="6">
        <f>AVERAGE(B16:B27)</f>
        <v>30979.86</v>
      </c>
    </row>
  </sheetData>
  <phoneticPr fontId="6" type="noConversion"/>
  <conditionalFormatting sqref="D16:D27">
    <cfRule type="containsText" dxfId="1" priority="1" operator="containsText" text="High">
      <formula>NOT(ISERROR(SEARCH("High",D16)))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0DBD-7849-8847-B3D7-76FA41ACE4AF}">
  <dimension ref="A1:E21"/>
  <sheetViews>
    <sheetView workbookViewId="0">
      <selection activeCell="E16" sqref="E16"/>
    </sheetView>
  </sheetViews>
  <sheetFormatPr baseColWidth="10" defaultRowHeight="16" x14ac:dyDescent="0.2"/>
  <cols>
    <col min="1" max="1" width="23.83203125" customWidth="1"/>
    <col min="2" max="2" width="14.1640625" customWidth="1"/>
    <col min="3" max="3" width="13.83203125" customWidth="1"/>
    <col min="4" max="4" width="12" customWidth="1"/>
    <col min="5" max="5" width="18.33203125" customWidth="1"/>
  </cols>
  <sheetData>
    <row r="1" spans="1:5" ht="22" x14ac:dyDescent="0.3">
      <c r="A1" s="5" t="s">
        <v>30</v>
      </c>
    </row>
    <row r="3" spans="1:5" x14ac:dyDescent="0.2">
      <c r="A3" t="s">
        <v>31</v>
      </c>
      <c r="B3" t="s">
        <v>32</v>
      </c>
      <c r="C3" t="s">
        <v>33</v>
      </c>
      <c r="D3" t="s">
        <v>34</v>
      </c>
      <c r="E3" t="s">
        <v>35</v>
      </c>
    </row>
    <row r="4" spans="1:5" x14ac:dyDescent="0.2">
      <c r="A4" t="s">
        <v>36</v>
      </c>
      <c r="B4" t="s">
        <v>41</v>
      </c>
      <c r="C4" s="6">
        <v>8400</v>
      </c>
      <c r="D4" s="7">
        <v>0.24990000000000001</v>
      </c>
      <c r="E4" s="6">
        <v>252</v>
      </c>
    </row>
    <row r="5" spans="1:5" x14ac:dyDescent="0.2">
      <c r="A5" t="s">
        <v>37</v>
      </c>
      <c r="B5" t="s">
        <v>41</v>
      </c>
      <c r="C5" s="6">
        <v>3200</v>
      </c>
      <c r="D5" s="7">
        <v>0.2049</v>
      </c>
      <c r="E5" s="6">
        <v>96</v>
      </c>
    </row>
    <row r="6" spans="1:5" x14ac:dyDescent="0.2">
      <c r="A6" t="s">
        <v>38</v>
      </c>
      <c r="B6" t="s">
        <v>42</v>
      </c>
      <c r="C6" s="6">
        <v>22600</v>
      </c>
      <c r="D6" s="7">
        <v>6.7500000000000004E-2</v>
      </c>
      <c r="E6" s="6">
        <v>552</v>
      </c>
    </row>
    <row r="7" spans="1:5" x14ac:dyDescent="0.2">
      <c r="A7" t="s">
        <v>39</v>
      </c>
      <c r="B7" t="s">
        <v>43</v>
      </c>
      <c r="C7" s="6">
        <v>31500</v>
      </c>
      <c r="D7" s="7">
        <v>5.2000000000000005E-2</v>
      </c>
      <c r="E7" s="6">
        <v>338</v>
      </c>
    </row>
    <row r="8" spans="1:5" x14ac:dyDescent="0.2">
      <c r="A8" t="s">
        <v>40</v>
      </c>
      <c r="B8" t="s">
        <v>43</v>
      </c>
      <c r="C8" s="6">
        <v>18000</v>
      </c>
      <c r="D8" s="7">
        <v>4.4000000000000004E-2</v>
      </c>
      <c r="E8" s="6">
        <v>205</v>
      </c>
    </row>
    <row r="10" spans="1:5" x14ac:dyDescent="0.2">
      <c r="A10" t="s">
        <v>44</v>
      </c>
      <c r="C10" s="8">
        <f>SUM(Table3[Balance])</f>
        <v>83700</v>
      </c>
    </row>
    <row r="11" spans="1:5" x14ac:dyDescent="0.2">
      <c r="A11" t="s">
        <v>53</v>
      </c>
      <c r="D11" s="1" cm="1">
        <f t="array" ref="D11">SUMPRODUCT(Table3[Balance],Table3[APR]/SUM(Table3[Balance]))</f>
        <v>8.017132616487456E-2</v>
      </c>
    </row>
    <row r="12" spans="1:5" ht="34" x14ac:dyDescent="0.2">
      <c r="A12" s="2" t="s">
        <v>45</v>
      </c>
      <c r="E12" s="8">
        <f>SUM(Table3[Minimum Payment])</f>
        <v>1443</v>
      </c>
    </row>
    <row r="14" spans="1:5" x14ac:dyDescent="0.2">
      <c r="A14" t="s">
        <v>46</v>
      </c>
      <c r="C14" s="6">
        <v>1850</v>
      </c>
    </row>
    <row r="15" spans="1:5" x14ac:dyDescent="0.2">
      <c r="A15" t="s">
        <v>47</v>
      </c>
      <c r="C15" s="8">
        <f>C10+C14</f>
        <v>85550</v>
      </c>
    </row>
    <row r="17" spans="1:3" x14ac:dyDescent="0.2">
      <c r="A17" t="s">
        <v>48</v>
      </c>
      <c r="C17" s="6">
        <v>19000</v>
      </c>
    </row>
    <row r="18" spans="1:3" x14ac:dyDescent="0.2">
      <c r="A18" t="s">
        <v>49</v>
      </c>
      <c r="C18" s="1">
        <f>C17/C15</f>
        <v>0.22209234365867914</v>
      </c>
    </row>
    <row r="19" spans="1:3" x14ac:dyDescent="0.2">
      <c r="A19" t="s">
        <v>50</v>
      </c>
      <c r="C19" s="8">
        <f>C17-C15</f>
        <v>-66550</v>
      </c>
    </row>
    <row r="20" spans="1:3" x14ac:dyDescent="0.2">
      <c r="A20" t="s">
        <v>52</v>
      </c>
      <c r="C20" s="6">
        <v>174923.04</v>
      </c>
    </row>
    <row r="21" spans="1:3" x14ac:dyDescent="0.2">
      <c r="A21" t="s">
        <v>51</v>
      </c>
      <c r="C21" s="1">
        <f>C15/C20</f>
        <v>0.48907222284725899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49BAC-9D39-C646-B925-80373128DB9B}">
  <dimension ref="A1:B15"/>
  <sheetViews>
    <sheetView workbookViewId="0">
      <selection activeCell="B21" sqref="B21"/>
    </sheetView>
  </sheetViews>
  <sheetFormatPr baseColWidth="10" defaultRowHeight="16" x14ac:dyDescent="0.2"/>
  <cols>
    <col min="1" max="1" width="35.1640625" customWidth="1"/>
    <col min="2" max="2" width="13.83203125" bestFit="1" customWidth="1"/>
  </cols>
  <sheetData>
    <row r="1" spans="1:2" ht="22" x14ac:dyDescent="0.3">
      <c r="A1" s="5" t="s">
        <v>54</v>
      </c>
    </row>
    <row r="3" spans="1:2" x14ac:dyDescent="0.2">
      <c r="A3" t="s">
        <v>55</v>
      </c>
      <c r="B3" t="s">
        <v>56</v>
      </c>
    </row>
    <row r="4" spans="1:2" x14ac:dyDescent="0.2">
      <c r="A4" t="s">
        <v>52</v>
      </c>
      <c r="B4" s="8">
        <f>'Debt Analysis'!C20</f>
        <v>174923.04</v>
      </c>
    </row>
    <row r="5" spans="1:2" x14ac:dyDescent="0.2">
      <c r="A5" t="s">
        <v>2</v>
      </c>
      <c r="B5" s="8">
        <f>SUM('Spending Summary'!B4:B12)</f>
        <v>371758.31999999995</v>
      </c>
    </row>
    <row r="6" spans="1:2" x14ac:dyDescent="0.2">
      <c r="A6" t="s">
        <v>57</v>
      </c>
      <c r="B6" s="9">
        <f>B4-B5</f>
        <v>-196835.27999999994</v>
      </c>
    </row>
    <row r="7" spans="1:2" x14ac:dyDescent="0.2">
      <c r="A7" t="s">
        <v>58</v>
      </c>
      <c r="B7" s="1">
        <f>B6/B4</f>
        <v>-1.1252678892386041</v>
      </c>
    </row>
    <row r="8" spans="1:2" x14ac:dyDescent="0.2">
      <c r="A8" t="s">
        <v>59</v>
      </c>
      <c r="B8" s="7">
        <f>'Debt Analysis'!C18</f>
        <v>0.22209234365867914</v>
      </c>
    </row>
    <row r="9" spans="1:2" x14ac:dyDescent="0.2">
      <c r="A9" t="s">
        <v>51</v>
      </c>
      <c r="B9" s="7">
        <f>'Debt Analysis'!C21</f>
        <v>0.48907222284725899</v>
      </c>
    </row>
    <row r="10" spans="1:2" x14ac:dyDescent="0.2">
      <c r="A10" t="s">
        <v>60</v>
      </c>
      <c r="B10">
        <f>100-(COUNTIF(B6,"&lt;0")*20)-(IF(B8&lt;25%,20,0))-(IF(B9&gt;40%,20,0))</f>
        <v>40</v>
      </c>
    </row>
    <row r="12" spans="1:2" x14ac:dyDescent="0.2">
      <c r="A12" s="10" t="s">
        <v>61</v>
      </c>
    </row>
    <row r="13" spans="1:2" x14ac:dyDescent="0.2">
      <c r="A13" t="s">
        <v>62</v>
      </c>
      <c r="B13" t="str">
        <f>IF(B6&lt;0,"Flag","OK")</f>
        <v>Flag</v>
      </c>
    </row>
    <row r="14" spans="1:2" x14ac:dyDescent="0.2">
      <c r="A14" t="s">
        <v>63</v>
      </c>
      <c r="B14" t="str">
        <f>IF(B8&lt;25%,"Flag","OK")</f>
        <v>Flag</v>
      </c>
    </row>
    <row r="15" spans="1:2" x14ac:dyDescent="0.2">
      <c r="A15" t="s">
        <v>64</v>
      </c>
      <c r="B15" t="str">
        <f>IF(B9&gt;40%,"Flag","OK")</f>
        <v>Flag</v>
      </c>
    </row>
  </sheetData>
  <conditionalFormatting sqref="B13:B15">
    <cfRule type="containsText" dxfId="0" priority="1" operator="containsText" text="Flag">
      <formula>NOT(ISERROR(SEARCH("Flag",B13)))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Spending Summary</vt:lpstr>
      <vt:lpstr>Debt Analysis</vt:lpstr>
      <vt:lpstr>Financial Health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Fontecha, Jared Tyler</dc:creator>
  <cp:lastModifiedBy>Fontecha, Jared Tyler</cp:lastModifiedBy>
  <dcterms:created xsi:type="dcterms:W3CDTF">2026-08-22T12:44:15Z</dcterms:created>
  <dcterms:modified xsi:type="dcterms:W3CDTF">2026-08-22T15:04:56Z</dcterms:modified>
</cp:coreProperties>
</file>